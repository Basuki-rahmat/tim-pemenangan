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<sst xmlns="http://schemas.openxmlformats.org/spreadsheetml/2006/main" count="36" uniqueCount="36">
  <si>
    <t>Rekapitulasi DPS, DPSHP, DPSHP Akhir, DPT Pemilu Tahun 2024</t>
  </si>
  <si>
    <t>DPS</t>
  </si>
  <si>
    <t>DPSHP</t>
  </si>
  <si>
    <t>DPT</t>
  </si>
  <si>
    <t>SELISIH 
DPT- DPSHP</t>
  </si>
  <si>
    <t>SELISIH 
TPS 
DPT- DPSHP</t>
  </si>
  <si>
    <t>NO</t>
  </si>
  <si>
    <t>KAB/KOTA</t>
  </si>
  <si>
    <t>JUMLAH KECAMATAN</t>
  </si>
  <si>
    <t>JUMLAH KEL/DESA</t>
  </si>
  <si>
    <t>JUMLAH TPS</t>
  </si>
  <si>
    <t>JUMLAH PEMILIH</t>
  </si>
  <si>
    <t>JUMLAH DPS L+P</t>
  </si>
  <si>
    <t>JUMLAH DPT L+P</t>
  </si>
  <si>
    <t>L</t>
  </si>
  <si>
    <t>P</t>
  </si>
  <si>
    <t>KOTA BANDAR LAMPUNG</t>
  </si>
  <si>
    <r>
      <rPr>
        <rFont val="Cambria"/>
        <sz val="9"/>
      </rPr>
      <t>KOTA METRO</t>
    </r>
  </si>
  <si>
    <r>
      <rPr>
        <rFont val="Cambria"/>
        <sz val="9"/>
      </rPr>
      <t>LAMPUNG BARAT</t>
    </r>
  </si>
  <si>
    <r>
      <rPr>
        <rFont val="Cambria"/>
        <sz val="9"/>
      </rPr>
      <t>LAMPUNG SELATAN</t>
    </r>
  </si>
  <si>
    <r>
      <rPr>
        <rFont val="Cambria"/>
        <sz val="9"/>
      </rPr>
      <t>LAMPUNG TENGAH</t>
    </r>
  </si>
  <si>
    <r>
      <rPr>
        <rFont val="Cambria"/>
        <sz val="9"/>
      </rPr>
      <t>LAMPUNG TIMUR</t>
    </r>
  </si>
  <si>
    <r>
      <rPr>
        <rFont val="Cambria"/>
        <sz val="9"/>
      </rPr>
      <t>LAMPUNG UTARA</t>
    </r>
  </si>
  <si>
    <r>
      <rPr>
        <rFont val="Cambria"/>
        <sz val="9"/>
      </rPr>
      <t>MESUJI</t>
    </r>
  </si>
  <si>
    <r>
      <rPr>
        <rFont val="Cambria"/>
        <sz val="9"/>
      </rPr>
      <t>PESAWARAN</t>
    </r>
  </si>
  <si>
    <r>
      <rPr>
        <rFont val="Cambria"/>
        <sz val="9"/>
      </rPr>
      <t>PESISIR BARAT</t>
    </r>
  </si>
  <si>
    <r>
      <rPr>
        <rFont val="Cambria"/>
        <sz val="9"/>
      </rPr>
      <t>PRINGSEWU</t>
    </r>
  </si>
  <si>
    <r>
      <rPr>
        <rFont val="Cambria"/>
        <sz val="9"/>
      </rPr>
      <t>TANGGAMUS</t>
    </r>
  </si>
  <si>
    <r>
      <rPr>
        <rFont val="Cambria"/>
        <sz val="9"/>
      </rPr>
      <t>TULANG BAWANG</t>
    </r>
  </si>
  <si>
    <r>
      <rPr>
        <rFont val="Cambria"/>
        <sz val="9"/>
      </rPr>
      <t>TULANG BAWANG BARAT</t>
    </r>
  </si>
  <si>
    <r>
      <rPr>
        <rFont val="Cambria"/>
        <sz val="9"/>
      </rPr>
      <t>WAY KANAN</t>
    </r>
  </si>
  <si>
    <t>TOTAL</t>
  </si>
  <si>
    <t xml:space="preserve">Keterangan : </t>
  </si>
  <si>
    <t>: Daftar Pemilih Sementara</t>
  </si>
  <si>
    <t xml:space="preserve">: Daftar Pemilih Sementara Hasil Perbaikan </t>
  </si>
  <si>
    <t>: Daftar Pemilih Tetap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</si>
</sst>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1" formatCode="_(* #,##0.00_);_(* \(#,##0.00\);_(* &quot;-&quot;??_);_(@_)"/>
    <numFmt numFmtId="172" formatCode="_(* #,##0_);_(* \(#,##0\);_(* &quot;-&quot;??_);_(@_)"/>
  </numFmts>
  <fonts count="8">
    <font>
      <b val="0"/>
      <i val="0"/>
      <sz val="11"/>
      <color theme="1"/>
      <name val="Aptos Narrow"/>
      <scheme val="minor"/>
    </font>
    <font>
      <b val="0"/>
      <i val="0"/>
      <sz val="10"/>
      <color rgb="FF000000"/>
      <name val="Times New Roman"/>
    </font>
    <font>
      <b/>
      <i val="0"/>
      <sz val="14"/>
      <color theme="1"/>
      <name val="Arial"/>
    </font>
    <font>
      <b/>
      <i val="0"/>
      <sz val="10"/>
      <color theme="1"/>
      <name val="Arial"/>
    </font>
    <font>
      <b/>
      <i val="0"/>
      <sz val="10"/>
      <color rgb="FF000000"/>
      <name val="Arial"/>
    </font>
    <font>
      <b val="0"/>
      <i val="0"/>
      <sz val="10"/>
      <color theme="1"/>
      <name val="Arial"/>
    </font>
    <font>
      <b val="0"/>
      <i val="0"/>
      <sz val="9"/>
      <color auto="1"/>
      <name val="Cambria"/>
    </font>
    <font>
      <b/>
      <i val="0"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866"/>
      </patternFill>
    </fill>
    <fill>
      <patternFill patternType="solid">
        <fgColor rgb="FFC55810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4">
    <xf numFmtId="0" fontId="0" fillId="0" borderId="0"/>
    <xf numFmtId="0" fontId="0" fillId="0" borderId="0"/>
    <xf numFmtId="171" fontId="0" fillId="0" borderId="0" applyFont="0" applyFill="0" applyBorder="0" applyAlignment="0" applyProtection="0"/>
    <xf numFmtId="0" fontId="1" fillId="0" borderId="0"/>
  </cellStyleXfs>
  <cellXfs count="29">
    <xf numFmtId="0" fontId="0" fillId="0" borderId="0" xfId="0"/>
    <xf numFmtId="0" fontId="2" fillId="0" borderId="0" xfId="0">
      <alignment horizontal="center" vertical="center"/>
    </xf>
    <xf numFmtId="0" fontId="0" fillId="0" borderId="0" xfId="0">
      <alignment horizontal="center" vertical="bottom"/>
    </xf>
    <xf numFmtId="0" fontId="3" fillId="2" borderId="1" xfId="0">
      <alignment horizontal="center" vertical="center" wrapText="1"/>
    </xf>
    <xf numFmtId="0" fontId="3" fillId="2" borderId="2" xfId="0">
      <alignment horizontal="center" vertical="center" wrapText="1"/>
    </xf>
    <xf numFmtId="0" fontId="3" fillId="2" borderId="3" xfId="0">
      <alignment horizontal="center" vertical="center" wrapText="1"/>
    </xf>
    <xf numFmtId="0" fontId="4" fillId="2" borderId="4" xfId="0">
      <alignment horizontal="center" vertical="center" wrapText="1"/>
    </xf>
    <xf numFmtId="0" fontId="4" fillId="2" borderId="5" xfId="0">
      <alignment horizontal="center" vertical="center" wrapText="1"/>
    </xf>
    <xf numFmtId="0" fontId="4" fillId="2" borderId="6" xfId="0">
      <alignment horizontal="center" vertical="center" wrapText="1"/>
    </xf>
    <xf numFmtId="0" fontId="4" fillId="2" borderId="1" xfId="0">
      <alignment horizontal="center" vertical="center" wrapText="1"/>
    </xf>
    <xf numFmtId="0" fontId="4" fillId="2" borderId="7" xfId="0">
      <alignment horizontal="center" vertical="center" wrapText="1"/>
    </xf>
    <xf numFmtId="0" fontId="4" fillId="2" borderId="8" xfId="0">
      <alignment horizontal="center" vertical="center" wrapText="1"/>
    </xf>
    <xf numFmtId="0" fontId="4" fillId="2" borderId="0" xfId="0">
      <alignment horizontal="center" vertical="center" wrapText="1"/>
    </xf>
    <xf numFmtId="0" fontId="0" fillId="2" borderId="9" xfId="0">
      <alignment horizontal="center" vertical="top" wrapText="1"/>
    </xf>
    <xf numFmtId="0" fontId="0" fillId="2" borderId="10" xfId="0">
      <alignment horizontal="center" vertical="top" wrapText="1"/>
    </xf>
    <xf numFmtId="0" fontId="0" fillId="2" borderId="11" xfId="0">
      <alignment horizontal="center" vertical="top" wrapText="1"/>
    </xf>
    <xf numFmtId="0" fontId="4" fillId="2" borderId="9" xfId="0">
      <alignment horizontal="center" vertical="center" wrapText="1"/>
    </xf>
    <xf numFmtId="0" fontId="4" fillId="2" borderId="10" xfId="0">
      <alignment horizontal="center" vertical="center" wrapText="1"/>
    </xf>
    <xf numFmtId="0" fontId="5" fillId="0" borderId="9" xfId="0">
      <alignment horizontal="center" vertical="center" wrapText="1"/>
    </xf>
    <xf numFmtId="0" fontId="6" fillId="0" borderId="12" xfId="0">
      <alignment horizontal="left" vertical="center" wrapText="1"/>
    </xf>
    <xf numFmtId="172" fontId="6" fillId="0" borderId="12" xfId="2">
      <alignment horizontal="left" vertical="center" wrapText="1"/>
    </xf>
    <xf numFmtId="172" fontId="6" fillId="0" borderId="9" xfId="2">
      <alignment horizontal="left" vertical="center" wrapText="1"/>
    </xf>
    <xf numFmtId="0" fontId="5" fillId="0" borderId="12" xfId="0">
      <alignment horizontal="left" vertical="center" wrapText="1"/>
    </xf>
    <xf numFmtId="0" fontId="4" fillId="3" borderId="12" xfId="0">
      <alignment horizontal="center" vertical="center" wrapText="1"/>
    </xf>
    <xf numFmtId="0" fontId="4" fillId="3" borderId="10" xfId="0">
      <alignment horizontal="center" vertical="center" wrapText="1"/>
    </xf>
    <xf numFmtId="172" fontId="3" fillId="3" borderId="10" xfId="2">
      <alignment vertical="top" wrapText="1"/>
    </xf>
    <xf numFmtId="0" fontId="2" fillId="0" borderId="0" xfId="0">
      <alignment vertical="center"/>
    </xf>
    <xf numFmtId="0" fontId="7" fillId="0" borderId="0" xfId="0">
      <alignment vertical="bottom" wrapText="1"/>
    </xf>
    <xf numFmtId="0" fontId="7" fillId="0" borderId="0" xfId="0"/>
  </cellXfs>
  <cellStyles count="3">
    <cellStyle name="Normal" xfId="1"/>
    <cellStyle name="Comma" xfId="2" builtinId="3"/>
    <cellStyle name="Normal 2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46</xdr:row>
      <xdr:rowOff>146050</xdr:rowOff>
    </xdr:from>
    <xdr:to>
      <xdr:col>20</xdr:col>
      <xdr:colOff>251460</xdr:colOff>
      <xdr:row>46</xdr:row>
      <xdr:rowOff>147320</xdr:rowOff>
    </xdr:to>
    <xdr:sp>
      <xdr:nvSpPr>
        <xdr:cNvPr id="2" name="Graphic 5"/>
        <xdr:cNvSpPr>
          <a:spLocks noChangeAspect="0"/>
        </xdr:cNvSpPr>
      </xdr:nvSpPr>
      <xdr:spPr>
        <a:xfrm>
          <a:off x="361950" y="8636122"/>
          <a:ext cx="9954871" cy="1270"/>
        </a:xfrm>
        <a:noFill/>
        <a:ln w="10763" cmpd="sng">
          <a:solidFill>
            <a:srgbClr val="000000"/>
          </a:solidFill>
          <a:prstDash val="solid"/>
        </a:ln>
      </xdr:spPr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ACDAE07-E929-4E43-A0F9-860444F9F0F2}" mc:Ignorable="x14ac xr xr2 xr3">
  <dimension ref="A1:U47"/>
  <sheetViews>
    <sheetView topLeftCell="A13" zoomScale="104" workbookViewId="0" tabSelected="1">
      <selection activeCell="M21" sqref="M21"/>
    </sheetView>
  </sheetViews>
  <sheetFormatPr defaultRowHeight="13.799999999999999" defaultColWidth="9.140625" customHeight="1"/>
  <cols>
    <col min="2" max="2" width="21.57421875" customWidth="1"/>
    <col min="3" max="3" width="14.57421875" customWidth="1"/>
    <col min="4" max="4" width="13.00390625" customWidth="1"/>
    <col min="5" max="5" width="13.140625" hidden="1" customWidth="1"/>
    <col min="6" max="6" width="11.00390625" hidden="1" customWidth="1"/>
    <col min="7" max="7" width="11.57421875" hidden="1" customWidth="1"/>
    <col min="8" max="8" width="12.28125" hidden="1" customWidth="1"/>
    <col min="9" max="9" width="13.57421875" hidden="1" customWidth="1"/>
    <col min="10" max="11" width="10.28125" hidden="1" customWidth="1"/>
    <col min="12" max="12" width="13.140625" hidden="1" customWidth="1"/>
    <col min="13" max="13" width="12.8515625" customWidth="1"/>
    <col min="14" max="15" width="10.28125" customWidth="1"/>
    <col min="16" max="16" width="12.421875" customWidth="1"/>
    <col min="17" max="17" width="14.57421875" customWidth="1"/>
    <col min="18" max="18" width="13.140625" customWidth="1"/>
  </cols>
  <sheetData>
    <row r="2" ht="17.2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14.25" customHeight="1"/>
    <row r="4" ht="14.25" customHeight="1" s="2" customFormat="1">
      <c r="A4" s="3"/>
      <c r="B4" s="4"/>
      <c r="C4" s="5"/>
      <c r="D4" s="3"/>
      <c r="E4" s="6" t="s">
        <v>1</v>
      </c>
      <c r="F4" s="7"/>
      <c r="G4" s="7"/>
      <c r="H4" s="8"/>
      <c r="I4" s="6" t="s">
        <v>2</v>
      </c>
      <c r="J4" s="7"/>
      <c r="K4" s="7"/>
      <c r="L4" s="8"/>
      <c r="M4" s="6" t="s">
        <v>3</v>
      </c>
      <c r="N4" s="7"/>
      <c r="O4" s="7"/>
      <c r="P4" s="8"/>
      <c r="Q4" s="9" t="s">
        <v>4</v>
      </c>
      <c r="R4" s="9" t="s">
        <v>5</v>
      </c>
    </row>
    <row r="5" ht="27" customHeight="1" s="2" customFormat="1">
      <c r="A5" s="10" t="s">
        <v>6</v>
      </c>
      <c r="B5" s="11" t="s">
        <v>7</v>
      </c>
      <c r="C5" s="12" t="s">
        <v>8</v>
      </c>
      <c r="D5" s="10" t="s">
        <v>9</v>
      </c>
      <c r="E5" s="9" t="s">
        <v>10</v>
      </c>
      <c r="F5" s="6" t="s">
        <v>11</v>
      </c>
      <c r="G5" s="8"/>
      <c r="H5" s="9" t="s">
        <v>12</v>
      </c>
      <c r="I5" s="9" t="s">
        <v>10</v>
      </c>
      <c r="J5" s="6" t="s">
        <v>11</v>
      </c>
      <c r="K5" s="8"/>
      <c r="L5" s="9" t="s">
        <v>12</v>
      </c>
      <c r="M5" s="9" t="s">
        <v>10</v>
      </c>
      <c r="N5" s="6" t="s">
        <v>11</v>
      </c>
      <c r="O5" s="8"/>
      <c r="P5" s="9" t="s">
        <v>13</v>
      </c>
      <c r="Q5" s="10"/>
      <c r="R5" s="10"/>
    </row>
    <row r="6" ht="14.25" customHeight="1" s="2" customFormat="1">
      <c r="A6" s="13"/>
      <c r="B6" s="14"/>
      <c r="C6" s="15"/>
      <c r="D6" s="13"/>
      <c r="E6" s="16"/>
      <c r="F6" s="17" t="s">
        <v>14</v>
      </c>
      <c r="G6" s="17" t="s">
        <v>15</v>
      </c>
      <c r="H6" s="16"/>
      <c r="I6" s="16"/>
      <c r="J6" s="17" t="s">
        <v>14</v>
      </c>
      <c r="K6" s="17" t="s">
        <v>15</v>
      </c>
      <c r="L6" s="16"/>
      <c r="M6" s="16"/>
      <c r="N6" s="17" t="s">
        <v>14</v>
      </c>
      <c r="O6" s="17" t="s">
        <v>15</v>
      </c>
      <c r="P6" s="16"/>
      <c r="Q6" s="16"/>
      <c r="R6" s="16"/>
    </row>
    <row r="7" ht="14.25" customHeight="1">
      <c r="A7" s="18">
        <v>1</v>
      </c>
      <c r="B7" s="19" t="s">
        <v>16</v>
      </c>
      <c r="C7" s="20">
        <v>20</v>
      </c>
      <c r="D7" s="20">
        <v>126</v>
      </c>
      <c r="E7" s="20">
        <v>2880</v>
      </c>
      <c r="F7" s="20">
        <v>408107</v>
      </c>
      <c r="G7" s="20">
        <v>407815</v>
      </c>
      <c r="H7" s="20">
        <f t="shared" si="0" ref="H7:P21">SUM(F7:G7)</f>
        <v>815922</v>
      </c>
      <c r="I7" s="20">
        <v>2880</v>
      </c>
      <c r="J7" s="20">
        <v>397810</v>
      </c>
      <c r="K7" s="20">
        <v>396984</v>
      </c>
      <c r="L7" s="20">
        <f t="shared" si="0"/>
        <v>794794</v>
      </c>
      <c r="M7" s="20">
        <v>2880</v>
      </c>
      <c r="N7" s="20">
        <v>395037</v>
      </c>
      <c r="O7" s="20">
        <v>395088</v>
      </c>
      <c r="P7" s="20">
        <f t="shared" si="0"/>
        <v>790125</v>
      </c>
      <c r="Q7" s="20">
        <f t="shared" si="1" ref="Q7:Q21">P7-L7</f>
        <v>-4669</v>
      </c>
      <c r="R7" s="21">
        <f t="shared" si="2" ref="R7:R21">M7-I7</f>
        <v>0</v>
      </c>
    </row>
    <row r="8" ht="14.25" customHeight="1">
      <c r="A8" s="18">
        <v>2</v>
      </c>
      <c r="B8" s="22" t="s">
        <v>17</v>
      </c>
      <c r="C8" s="20">
        <v>5</v>
      </c>
      <c r="D8" s="20">
        <v>22</v>
      </c>
      <c r="E8" s="20">
        <v>462</v>
      </c>
      <c r="F8" s="20">
        <v>64325</v>
      </c>
      <c r="G8" s="20">
        <v>65122</v>
      </c>
      <c r="H8" s="20">
        <f t="shared" si="0"/>
        <v>129447</v>
      </c>
      <c r="I8" s="20">
        <v>462</v>
      </c>
      <c r="J8" s="20">
        <v>63998</v>
      </c>
      <c r="K8" s="20">
        <v>64750</v>
      </c>
      <c r="L8" s="20">
        <f t="shared" si="0"/>
        <v>128748</v>
      </c>
      <c r="M8" s="20">
        <v>462</v>
      </c>
      <c r="N8" s="20">
        <v>63780</v>
      </c>
      <c r="O8" s="20">
        <v>64590</v>
      </c>
      <c r="P8" s="20">
        <f t="shared" si="0"/>
        <v>128370</v>
      </c>
      <c r="Q8" s="20">
        <f t="shared" si="1"/>
        <v>-378</v>
      </c>
      <c r="R8" s="21">
        <f t="shared" si="2"/>
        <v>0</v>
      </c>
    </row>
    <row r="9" ht="14.25" customHeight="1">
      <c r="A9" s="18">
        <v>3</v>
      </c>
      <c r="B9" s="22" t="s">
        <v>18</v>
      </c>
      <c r="C9" s="20">
        <v>15</v>
      </c>
      <c r="D9" s="20">
        <v>136</v>
      </c>
      <c r="E9" s="20">
        <v>982</v>
      </c>
      <c r="F9" s="20">
        <v>116904</v>
      </c>
      <c r="G9" s="20">
        <v>107556</v>
      </c>
      <c r="H9" s="20">
        <f t="shared" si="0"/>
        <v>224460</v>
      </c>
      <c r="I9" s="20">
        <v>982</v>
      </c>
      <c r="J9" s="20">
        <v>116337</v>
      </c>
      <c r="K9" s="20">
        <v>107136</v>
      </c>
      <c r="L9" s="20">
        <f t="shared" si="0"/>
        <v>223473</v>
      </c>
      <c r="M9" s="20">
        <v>982</v>
      </c>
      <c r="N9" s="20">
        <v>116059</v>
      </c>
      <c r="O9" s="20">
        <v>107007</v>
      </c>
      <c r="P9" s="20">
        <f t="shared" si="0"/>
        <v>223066</v>
      </c>
      <c r="Q9" s="20">
        <f t="shared" si="1"/>
        <v>-407</v>
      </c>
      <c r="R9" s="21">
        <f t="shared" si="2"/>
        <v>0</v>
      </c>
    </row>
    <row r="10" ht="14.25" customHeight="1">
      <c r="A10" s="18">
        <v>4</v>
      </c>
      <c r="B10" s="22" t="s">
        <v>19</v>
      </c>
      <c r="C10" s="20">
        <v>17</v>
      </c>
      <c r="D10" s="20">
        <v>260</v>
      </c>
      <c r="E10" s="20">
        <v>3024</v>
      </c>
      <c r="F10" s="20">
        <v>411812</v>
      </c>
      <c r="G10" s="20">
        <v>399848</v>
      </c>
      <c r="H10" s="20">
        <f t="shared" si="0"/>
        <v>811660</v>
      </c>
      <c r="I10" s="20">
        <v>3024</v>
      </c>
      <c r="J10" s="20">
        <v>408734</v>
      </c>
      <c r="K10" s="20">
        <v>396994</v>
      </c>
      <c r="L10" s="20">
        <f t="shared" si="0"/>
        <v>805728</v>
      </c>
      <c r="M10" s="20">
        <v>3029</v>
      </c>
      <c r="N10" s="20">
        <v>404745</v>
      </c>
      <c r="O10" s="20">
        <v>392034</v>
      </c>
      <c r="P10" s="20">
        <f t="shared" si="0"/>
        <v>796779</v>
      </c>
      <c r="Q10" s="20">
        <f t="shared" si="1"/>
        <v>-8949</v>
      </c>
      <c r="R10" s="21">
        <f t="shared" si="2"/>
        <v>5</v>
      </c>
    </row>
    <row r="11" ht="14.25" customHeight="1">
      <c r="A11" s="18">
        <v>5</v>
      </c>
      <c r="B11" s="22" t="s">
        <v>20</v>
      </c>
      <c r="C11" s="20">
        <v>28</v>
      </c>
      <c r="D11" s="20">
        <v>311</v>
      </c>
      <c r="E11" s="20">
        <v>4071</v>
      </c>
      <c r="F11" s="20">
        <v>535241</v>
      </c>
      <c r="G11" s="20">
        <v>519271</v>
      </c>
      <c r="H11" s="20">
        <f t="shared" si="0"/>
        <v>1054512</v>
      </c>
      <c r="I11" s="20">
        <v>4071</v>
      </c>
      <c r="J11" s="20">
        <v>520613</v>
      </c>
      <c r="K11" s="20">
        <v>504392</v>
      </c>
      <c r="L11" s="20">
        <f t="shared" si="0"/>
        <v>1025005</v>
      </c>
      <c r="M11" s="20">
        <v>4071</v>
      </c>
      <c r="N11" s="20">
        <v>518071</v>
      </c>
      <c r="O11" s="20">
        <v>502070</v>
      </c>
      <c r="P11" s="20">
        <f t="shared" si="0"/>
        <v>1020141</v>
      </c>
      <c r="Q11" s="20">
        <f t="shared" si="1"/>
        <v>-4864</v>
      </c>
      <c r="R11" s="21">
        <f t="shared" si="2"/>
        <v>0</v>
      </c>
    </row>
    <row r="12" ht="14.25" customHeight="1">
      <c r="A12" s="18">
        <v>6</v>
      </c>
      <c r="B12" s="22" t="s">
        <v>21</v>
      </c>
      <c r="C12" s="20">
        <v>24</v>
      </c>
      <c r="D12" s="20">
        <v>264</v>
      </c>
      <c r="E12" s="20">
        <v>3178</v>
      </c>
      <c r="F12" s="20">
        <v>420640</v>
      </c>
      <c r="G12" s="20">
        <v>408326</v>
      </c>
      <c r="H12" s="20">
        <f t="shared" si="0"/>
        <v>828966</v>
      </c>
      <c r="I12" s="20">
        <v>3178</v>
      </c>
      <c r="J12" s="20">
        <v>415937</v>
      </c>
      <c r="K12" s="20">
        <v>403326</v>
      </c>
      <c r="L12" s="20">
        <f t="shared" si="0"/>
        <v>819263</v>
      </c>
      <c r="M12" s="20">
        <v>3178</v>
      </c>
      <c r="N12" s="20">
        <v>417699</v>
      </c>
      <c r="O12" s="20">
        <v>405207</v>
      </c>
      <c r="P12" s="20">
        <f t="shared" si="0"/>
        <v>822906</v>
      </c>
      <c r="Q12" s="20">
        <f t="shared" si="1"/>
        <v>3643</v>
      </c>
      <c r="R12" s="21">
        <f t="shared" si="2"/>
        <v>0</v>
      </c>
    </row>
    <row r="13" ht="14.25" customHeight="1">
      <c r="A13" s="18">
        <v>7</v>
      </c>
      <c r="B13" s="22" t="s">
        <v>22</v>
      </c>
      <c r="C13" s="20">
        <v>23</v>
      </c>
      <c r="D13" s="20">
        <v>247</v>
      </c>
      <c r="E13" s="20">
        <v>1951</v>
      </c>
      <c r="F13" s="20">
        <v>246148</v>
      </c>
      <c r="G13" s="20">
        <v>241763</v>
      </c>
      <c r="H13" s="20">
        <f t="shared" si="0"/>
        <v>487911</v>
      </c>
      <c r="I13" s="20">
        <v>1951</v>
      </c>
      <c r="J13" s="20">
        <v>245026</v>
      </c>
      <c r="K13" s="20">
        <v>240844</v>
      </c>
      <c r="L13" s="20">
        <f t="shared" si="0"/>
        <v>485870</v>
      </c>
      <c r="M13" s="20">
        <v>1954</v>
      </c>
      <c r="N13" s="20">
        <v>242031</v>
      </c>
      <c r="O13" s="20">
        <v>237436</v>
      </c>
      <c r="P13" s="20">
        <f t="shared" si="0"/>
        <v>479467</v>
      </c>
      <c r="Q13" s="20">
        <f t="shared" si="1"/>
        <v>-6403</v>
      </c>
      <c r="R13" s="21">
        <f t="shared" si="2"/>
        <v>3</v>
      </c>
    </row>
    <row r="14" ht="14.25" customHeight="1">
      <c r="A14" s="18">
        <v>8</v>
      </c>
      <c r="B14" s="22" t="s">
        <v>23</v>
      </c>
      <c r="C14" s="20">
        <v>7</v>
      </c>
      <c r="D14" s="20">
        <v>105</v>
      </c>
      <c r="E14" s="20">
        <v>663</v>
      </c>
      <c r="F14" s="20">
        <v>88539</v>
      </c>
      <c r="G14" s="20">
        <v>83548</v>
      </c>
      <c r="H14" s="20">
        <f t="shared" si="0"/>
        <v>172087</v>
      </c>
      <c r="I14" s="20">
        <v>663</v>
      </c>
      <c r="J14" s="20">
        <v>87989</v>
      </c>
      <c r="K14" s="20">
        <v>83061</v>
      </c>
      <c r="L14" s="20">
        <f t="shared" si="0"/>
        <v>171050</v>
      </c>
      <c r="M14" s="20">
        <v>663</v>
      </c>
      <c r="N14" s="20">
        <v>87452</v>
      </c>
      <c r="O14" s="20">
        <v>82545</v>
      </c>
      <c r="P14" s="20">
        <f t="shared" si="0"/>
        <v>169997</v>
      </c>
      <c r="Q14" s="20">
        <f t="shared" si="1"/>
        <v>-1053</v>
      </c>
      <c r="R14" s="21">
        <f t="shared" si="2"/>
        <v>0</v>
      </c>
    </row>
    <row r="15" ht="14.25" customHeight="1">
      <c r="A15" s="18">
        <v>9</v>
      </c>
      <c r="B15" s="22" t="s">
        <v>24</v>
      </c>
      <c r="C15" s="20">
        <v>11</v>
      </c>
      <c r="D15" s="20">
        <v>148</v>
      </c>
      <c r="E15" s="20">
        <v>1378</v>
      </c>
      <c r="F15" s="20">
        <v>176174</v>
      </c>
      <c r="G15" s="20">
        <v>168087</v>
      </c>
      <c r="H15" s="20">
        <f t="shared" si="0"/>
        <v>344261</v>
      </c>
      <c r="I15" s="20">
        <v>1378</v>
      </c>
      <c r="J15" s="20">
        <v>175877</v>
      </c>
      <c r="K15" s="20">
        <v>168023</v>
      </c>
      <c r="L15" s="20">
        <f t="shared" si="0"/>
        <v>343900</v>
      </c>
      <c r="M15" s="20">
        <v>1381</v>
      </c>
      <c r="N15" s="20">
        <v>176324</v>
      </c>
      <c r="O15" s="20">
        <v>168579</v>
      </c>
      <c r="P15" s="20">
        <f t="shared" si="0"/>
        <v>344903</v>
      </c>
      <c r="Q15" s="20">
        <f t="shared" si="1"/>
        <v>1003</v>
      </c>
      <c r="R15" s="21">
        <f t="shared" si="2"/>
        <v>3</v>
      </c>
    </row>
    <row r="16" ht="14.25" customHeight="1">
      <c r="A16" s="18">
        <v>10</v>
      </c>
      <c r="B16" s="22" t="s">
        <v>25</v>
      </c>
      <c r="C16" s="20">
        <v>11</v>
      </c>
      <c r="D16" s="20">
        <v>118</v>
      </c>
      <c r="E16" s="20">
        <v>490</v>
      </c>
      <c r="F16" s="20">
        <v>62806</v>
      </c>
      <c r="G16" s="20">
        <v>58082</v>
      </c>
      <c r="H16" s="20">
        <f t="shared" si="0"/>
        <v>120888</v>
      </c>
      <c r="I16" s="20">
        <v>490</v>
      </c>
      <c r="J16" s="20">
        <v>62486</v>
      </c>
      <c r="K16" s="20">
        <v>57839</v>
      </c>
      <c r="L16" s="20">
        <f t="shared" si="0"/>
        <v>120325</v>
      </c>
      <c r="M16" s="20">
        <v>490</v>
      </c>
      <c r="N16" s="20">
        <v>62156</v>
      </c>
      <c r="O16" s="20">
        <v>57499</v>
      </c>
      <c r="P16" s="20">
        <f t="shared" si="0"/>
        <v>119655</v>
      </c>
      <c r="Q16" s="20">
        <f t="shared" si="1"/>
        <v>-670</v>
      </c>
      <c r="R16" s="21">
        <f t="shared" si="2"/>
        <v>0</v>
      </c>
    </row>
    <row r="17" ht="14.25" customHeight="1">
      <c r="A17" s="18">
        <v>11</v>
      </c>
      <c r="B17" s="22" t="s">
        <v>26</v>
      </c>
      <c r="C17" s="20">
        <v>9</v>
      </c>
      <c r="D17" s="20">
        <v>131</v>
      </c>
      <c r="E17" s="20">
        <v>1209</v>
      </c>
      <c r="F17" s="20">
        <v>164110</v>
      </c>
      <c r="G17" s="20">
        <v>157088</v>
      </c>
      <c r="H17" s="20">
        <f t="shared" si="0"/>
        <v>321198</v>
      </c>
      <c r="I17" s="20">
        <v>1209</v>
      </c>
      <c r="J17" s="20">
        <v>162893</v>
      </c>
      <c r="K17" s="20">
        <v>155855</v>
      </c>
      <c r="L17" s="20">
        <f t="shared" si="0"/>
        <v>318748</v>
      </c>
      <c r="M17" s="20">
        <v>1209</v>
      </c>
      <c r="N17" s="20">
        <v>162658</v>
      </c>
      <c r="O17" s="20">
        <v>155656</v>
      </c>
      <c r="P17" s="20">
        <f t="shared" si="0"/>
        <v>318314</v>
      </c>
      <c r="Q17" s="20">
        <f t="shared" si="1"/>
        <v>-434</v>
      </c>
      <c r="R17" s="21">
        <f t="shared" si="2"/>
        <v>0</v>
      </c>
    </row>
    <row r="18" ht="14.25" customHeight="1">
      <c r="A18" s="18">
        <v>12</v>
      </c>
      <c r="B18" s="22" t="s">
        <v>27</v>
      </c>
      <c r="C18" s="20">
        <v>20</v>
      </c>
      <c r="D18" s="20">
        <v>302</v>
      </c>
      <c r="E18" s="20">
        <v>1887</v>
      </c>
      <c r="F18" s="20">
        <v>235481</v>
      </c>
      <c r="G18" s="20">
        <v>220056</v>
      </c>
      <c r="H18" s="20">
        <f t="shared" si="0"/>
        <v>455537</v>
      </c>
      <c r="I18" s="20">
        <v>1887</v>
      </c>
      <c r="J18" s="20">
        <v>234553</v>
      </c>
      <c r="K18" s="20">
        <v>219344</v>
      </c>
      <c r="L18" s="20">
        <f t="shared" si="0"/>
        <v>453897</v>
      </c>
      <c r="M18" s="20">
        <v>1887</v>
      </c>
      <c r="N18" s="20">
        <v>233325</v>
      </c>
      <c r="O18" s="20">
        <v>218357</v>
      </c>
      <c r="P18" s="20">
        <f t="shared" si="0"/>
        <v>451682</v>
      </c>
      <c r="Q18" s="20">
        <f t="shared" si="1"/>
        <v>-2215</v>
      </c>
      <c r="R18" s="21">
        <f t="shared" si="2"/>
        <v>0</v>
      </c>
    </row>
    <row r="19" ht="14.25" customHeight="1">
      <c r="A19" s="18">
        <v>13</v>
      </c>
      <c r="B19" s="22" t="s">
        <v>28</v>
      </c>
      <c r="C19" s="20">
        <v>15</v>
      </c>
      <c r="D19" s="20">
        <v>151</v>
      </c>
      <c r="E19" s="20">
        <v>1307</v>
      </c>
      <c r="F19" s="20">
        <v>160777</v>
      </c>
      <c r="G19" s="20">
        <v>150520</v>
      </c>
      <c r="H19" s="20">
        <f t="shared" si="0"/>
        <v>311297</v>
      </c>
      <c r="I19" s="20">
        <v>1307</v>
      </c>
      <c r="J19" s="20">
        <v>159827</v>
      </c>
      <c r="K19" s="20">
        <v>149835</v>
      </c>
      <c r="L19" s="20">
        <f t="shared" si="0"/>
        <v>309662</v>
      </c>
      <c r="M19" s="20">
        <v>1307</v>
      </c>
      <c r="N19" s="20">
        <v>158336</v>
      </c>
      <c r="O19" s="20">
        <v>148431</v>
      </c>
      <c r="P19" s="20">
        <f t="shared" si="0"/>
        <v>306767</v>
      </c>
      <c r="Q19" s="20">
        <f t="shared" si="1"/>
        <v>-2895</v>
      </c>
      <c r="R19" s="21">
        <f t="shared" si="2"/>
        <v>0</v>
      </c>
    </row>
    <row r="20" ht="14.25" customHeight="1">
      <c r="A20" s="18">
        <v>14</v>
      </c>
      <c r="B20" s="22" t="s">
        <v>29</v>
      </c>
      <c r="C20" s="20">
        <v>9</v>
      </c>
      <c r="D20" s="20">
        <v>103</v>
      </c>
      <c r="E20" s="20">
        <v>842</v>
      </c>
      <c r="F20" s="20">
        <v>113749</v>
      </c>
      <c r="G20" s="20">
        <v>110242</v>
      </c>
      <c r="H20" s="20">
        <f t="shared" si="0"/>
        <v>223991</v>
      </c>
      <c r="I20" s="20">
        <v>842</v>
      </c>
      <c r="J20" s="20">
        <v>112077</v>
      </c>
      <c r="K20" s="20">
        <v>108715</v>
      </c>
      <c r="L20" s="20">
        <f t="shared" si="0"/>
        <v>220792</v>
      </c>
      <c r="M20" s="20">
        <v>842</v>
      </c>
      <c r="N20" s="20">
        <v>112023</v>
      </c>
      <c r="O20" s="20">
        <v>108675</v>
      </c>
      <c r="P20" s="20">
        <f t="shared" si="0"/>
        <v>220698</v>
      </c>
      <c r="Q20" s="20">
        <f t="shared" si="1"/>
        <v>-94</v>
      </c>
      <c r="R20" s="21">
        <f t="shared" si="2"/>
        <v>0</v>
      </c>
    </row>
    <row r="21" ht="14.25" customHeight="1">
      <c r="A21" s="18">
        <v>15</v>
      </c>
      <c r="B21" s="22" t="s">
        <v>30</v>
      </c>
      <c r="C21" s="20">
        <v>15</v>
      </c>
      <c r="D21" s="20">
        <v>227</v>
      </c>
      <c r="E21" s="20">
        <v>1487</v>
      </c>
      <c r="F21" s="20">
        <v>177543</v>
      </c>
      <c r="G21" s="20">
        <v>170472</v>
      </c>
      <c r="H21" s="20">
        <f t="shared" si="0"/>
        <v>348015</v>
      </c>
      <c r="I21" s="20">
        <v>1487</v>
      </c>
      <c r="J21" s="20">
        <v>176540</v>
      </c>
      <c r="K21" s="20">
        <v>169590</v>
      </c>
      <c r="L21" s="20">
        <f t="shared" si="0"/>
        <v>346130</v>
      </c>
      <c r="M21" s="20">
        <v>1490</v>
      </c>
      <c r="N21" s="20">
        <v>176638</v>
      </c>
      <c r="O21" s="20">
        <v>169620</v>
      </c>
      <c r="P21" s="20">
        <f t="shared" si="0"/>
        <v>346258</v>
      </c>
      <c r="Q21" s="20">
        <f t="shared" si="1"/>
        <v>128</v>
      </c>
      <c r="R21" s="21">
        <f t="shared" si="2"/>
        <v>3</v>
      </c>
    </row>
    <row r="22" ht="14.25" customHeight="1">
      <c r="A22" s="23" t="s">
        <v>31</v>
      </c>
      <c r="B22" s="24"/>
      <c r="C22" s="25">
        <f t="shared" si="3" ref="C22:R22">SUM(C7:C21)</f>
        <v>229</v>
      </c>
      <c r="D22" s="25">
        <f t="shared" si="3"/>
        <v>2651</v>
      </c>
      <c r="E22" s="25">
        <f t="shared" si="3"/>
        <v>25811</v>
      </c>
      <c r="F22" s="25">
        <f t="shared" si="3"/>
        <v>3382356</v>
      </c>
      <c r="G22" s="25">
        <f t="shared" si="3"/>
        <v>3267796</v>
      </c>
      <c r="H22" s="25">
        <f t="shared" si="3"/>
        <v>6650152</v>
      </c>
      <c r="I22" s="25">
        <f t="shared" si="3"/>
        <v>25811</v>
      </c>
      <c r="J22" s="25">
        <f t="shared" si="3"/>
        <v>3340697</v>
      </c>
      <c r="K22" s="25">
        <f t="shared" si="3"/>
        <v>3226688</v>
      </c>
      <c r="L22" s="25">
        <f t="shared" si="3"/>
        <v>6567385</v>
      </c>
      <c r="M22" s="25">
        <f t="shared" si="3"/>
        <v>25825</v>
      </c>
      <c r="N22" s="25">
        <f t="shared" si="3"/>
        <v>3326334</v>
      </c>
      <c r="O22" s="25">
        <f t="shared" si="3"/>
        <v>3212794</v>
      </c>
      <c r="P22" s="25">
        <f t="shared" si="3"/>
        <v>6539128</v>
      </c>
      <c r="Q22" s="25">
        <f t="shared" si="3"/>
        <v>-28257</v>
      </c>
      <c r="R22" s="25">
        <f t="shared" si="3"/>
        <v>14</v>
      </c>
    </row>
    <row r="23" ht="17.25" customHeight="1">
      <c r="A23" s="26"/>
    </row>
    <row r="24" ht="13.5" customHeight="1">
      <c r="B24" s="27" t="s">
        <v>32</v>
      </c>
      <c r="C24" s="28"/>
    </row>
    <row r="25" ht="17.25" customHeight="1">
      <c r="B25" s="28" t="s">
        <v>1</v>
      </c>
      <c r="C25" s="28" t="s">
        <v>33</v>
      </c>
    </row>
    <row r="26" ht="13.5" customHeight="1">
      <c r="B26" s="28" t="s">
        <v>2</v>
      </c>
      <c r="C26" s="28" t="s">
        <v>34</v>
      </c>
    </row>
    <row r="27" ht="13.5" customHeight="1">
      <c r="B27" s="28" t="s">
        <v>3</v>
      </c>
      <c r="C27" s="28" t="s">
        <v>35</v>
      </c>
    </row>
  </sheetData>
  <mergeCells>
    <mergeCell ref="A22:B22"/>
    <mergeCell ref="A2:R2"/>
    <mergeCell ref="J5:K5"/>
    <mergeCell ref="L5:L6"/>
    <mergeCell ref="M5:M6"/>
    <mergeCell ref="N5:O5"/>
    <mergeCell ref="P5:P6"/>
    <mergeCell ref="E4:H4"/>
    <mergeCell ref="I4:L4"/>
    <mergeCell ref="M4:P4"/>
    <mergeCell ref="Q4:Q6"/>
    <mergeCell ref="R4:R6"/>
    <mergeCell ref="E5:E6"/>
    <mergeCell ref="F5:G5"/>
    <mergeCell ref="H5:H6"/>
    <mergeCell ref="I5:I6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satriaarif</dc:creator>
  <cp:lastModifiedBy>rahmat waykanan</cp:lastModifiedBy>
  <dcterms:created xsi:type="dcterms:W3CDTF">2025-09-02T03:49:42Z</dcterms:created>
  <dcterms:modified xsi:type="dcterms:W3CDTF">2026-09-12T20:04:56Z</dcterms:modified>
</cp:coreProperties>
</file>